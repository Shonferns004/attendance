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tin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8" i="1"/>
  <c r="C18" i="1"/>
  <c r="C34" i="1"/>
  <c r="C37" i="1"/>
  <c r="C40" i="1"/>
  <c r="C46" i="1"/>
  <c r="C56" i="1"/>
  <c r="C70" i="1"/>
  <c r="C74" i="1"/>
</calcChain>
</file>

<file path=xl/sharedStrings.xml><?xml version="1.0" encoding="utf-8"?>
<sst xmlns="http://schemas.openxmlformats.org/spreadsheetml/2006/main" count="80" uniqueCount="79">
  <si>
    <t>Difference</t>
  </si>
  <si>
    <t xml:space="preserve">Bank Total </t>
  </si>
  <si>
    <t>Total</t>
  </si>
  <si>
    <t>Priyal Darji - HR</t>
  </si>
  <si>
    <t>Pooja Patel - HR</t>
  </si>
  <si>
    <t>Jigna Patel - CMT Head</t>
  </si>
  <si>
    <t>HR Total</t>
  </si>
  <si>
    <t>Boss</t>
  </si>
  <si>
    <t>Shweta Madam Collection</t>
  </si>
  <si>
    <t>Priyank Sir Collection</t>
  </si>
  <si>
    <t>Suraj Patil - Office Boy</t>
  </si>
  <si>
    <t>Shital Parmar- WD</t>
  </si>
  <si>
    <t>Sohan Khedekar - WD</t>
  </si>
  <si>
    <t>Ankush Jaiswal - Meta add</t>
  </si>
  <si>
    <t xml:space="preserve">Rehan Shaikh - Social Media </t>
  </si>
  <si>
    <t xml:space="preserve">Sujith Surya - Social Media </t>
  </si>
  <si>
    <t xml:space="preserve">Tanvi Bhatt - Social Media </t>
  </si>
  <si>
    <t>Govind Giri - Social Media</t>
  </si>
  <si>
    <t>Jatin Nirmal - Social Media</t>
  </si>
  <si>
    <t>Prachi Dhanawade - Admin</t>
  </si>
  <si>
    <t xml:space="preserve">Vaishali Sawant  - Admin </t>
  </si>
  <si>
    <t>Management Total</t>
  </si>
  <si>
    <t>Babita Shetty</t>
  </si>
  <si>
    <t>Krishna Sandis</t>
  </si>
  <si>
    <t>Dipali Solanki - Left</t>
  </si>
  <si>
    <t>Uma Gupta</t>
  </si>
  <si>
    <t>Kanchan Thakur</t>
  </si>
  <si>
    <t>Kajal Randeriya</t>
  </si>
  <si>
    <t>Bhoomi Shukla</t>
  </si>
  <si>
    <t>Khushi Pal - Left</t>
  </si>
  <si>
    <t>Suspense</t>
  </si>
  <si>
    <t>All Branch Left &amp; Suspense</t>
  </si>
  <si>
    <t>Maya Jadhao</t>
  </si>
  <si>
    <t>Deepali Parmar</t>
  </si>
  <si>
    <t>Afsana Shah</t>
  </si>
  <si>
    <t>Pallavi Wankhede</t>
  </si>
  <si>
    <t>Deepak Karkera</t>
  </si>
  <si>
    <t>DEEPAK KARKERA TEAM</t>
  </si>
  <si>
    <t>Sonali Sakpal</t>
  </si>
  <si>
    <t>Deepa Gupta</t>
  </si>
  <si>
    <t>DEEPA GUPTA TEAM</t>
  </si>
  <si>
    <t>Sangeeta Kanojiya</t>
  </si>
  <si>
    <t>Suvita Shrivatkar</t>
  </si>
  <si>
    <t>KSHITIJA JADHAV TEAM</t>
  </si>
  <si>
    <t xml:space="preserve">Sushma Ambokar </t>
  </si>
  <si>
    <t>Sadika Siddiqui</t>
  </si>
  <si>
    <t>Varsha Tambe</t>
  </si>
  <si>
    <t>Priya Vishwakarma</t>
  </si>
  <si>
    <t>Priya Tiwari</t>
  </si>
  <si>
    <t xml:space="preserve">Muskan Khan </t>
  </si>
  <si>
    <t>Mamta Shah</t>
  </si>
  <si>
    <t>Megha Sutar</t>
  </si>
  <si>
    <t>Kshitija Jadhav</t>
  </si>
  <si>
    <t>Hema Narawade</t>
  </si>
  <si>
    <t>Deepali Gautam</t>
  </si>
  <si>
    <t>Chhaya Kumari</t>
  </si>
  <si>
    <t>Avni Ashar - HOLD</t>
  </si>
  <si>
    <t>Archana Parmar</t>
  </si>
  <si>
    <t>Anjana Vyas</t>
  </si>
  <si>
    <t>ANJANA VYAS TEAM</t>
  </si>
  <si>
    <t>Sweta Vishwakarma</t>
  </si>
  <si>
    <t xml:space="preserve">Tahseen Idrisi </t>
  </si>
  <si>
    <t>Sakshi Singh</t>
  </si>
  <si>
    <t>Ravina Jain</t>
  </si>
  <si>
    <t>Mittal Bharwad</t>
  </si>
  <si>
    <t>Riddhi Patel</t>
  </si>
  <si>
    <t>Manshika Choudhary</t>
  </si>
  <si>
    <t>Laxmi Mistry</t>
  </si>
  <si>
    <t>Kanchan Gupta</t>
  </si>
  <si>
    <t>SAKSHI SINGH TEAM</t>
  </si>
  <si>
    <t>Varsha Sakariya</t>
  </si>
  <si>
    <t>Simran Shaikh</t>
  </si>
  <si>
    <t>Mahima Redkar</t>
  </si>
  <si>
    <t>Pooja Pal</t>
  </si>
  <si>
    <t>Hiral Waghela</t>
  </si>
  <si>
    <t>NEHA KHARWAR TEAM</t>
  </si>
  <si>
    <t>Salary</t>
  </si>
  <si>
    <t>Date of Joining</t>
  </si>
  <si>
    <t>Agent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</si>
</sst>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[$-409]dd\-mmm\-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theme="0"/>
      <name val="Arial"/>
      <family val="2"/>
    </font>
    <font>
      <b/>
      <sz val="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43" fontId="0" fillId="0" borderId="0" xfId="1" applyFont="1" applyAlignment="1">
      <alignment horizontal="center"/>
    </xf>
    <xf numFmtId="0" fontId="0" fillId="0" borderId="0" xfId="0" applyAlignment="1">
      <alignment horizontal="left"/>
    </xf>
    <xf numFmtId="43" fontId="2" fillId="2" borderId="1" xfId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3" fontId="3" fillId="3" borderId="1" xfId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43" fontId="4" fillId="5" borderId="1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3" fontId="3" fillId="4" borderId="1" xfId="1" applyFont="1" applyFill="1" applyBorder="1" applyAlignment="1">
      <alignment horizontal="center" vertical="center"/>
    </xf>
    <xf numFmtId="164" fontId="3" fillId="4" borderId="1" xfId="1" applyNumberFormat="1" applyFont="1" applyFill="1" applyBorder="1" applyAlignment="1">
      <alignment horizontal="center" vertical="center"/>
    </xf>
    <xf numFmtId="164" fontId="3" fillId="4" borderId="1" xfId="1" applyNumberFormat="1" applyFont="1" applyFill="1" applyBorder="1" applyAlignment="1">
      <alignment horizontal="left" vertical="center"/>
    </xf>
    <xf numFmtId="43" fontId="4" fillId="3" borderId="1" xfId="1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43" fontId="2" fillId="2" borderId="1" xfId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43" fontId="3" fillId="3" borderId="1" xfId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tabSelected="1" workbookViewId="0">
      <selection activeCell="D2" sqref="D2"/>
    </sheetView>
  </sheetViews>
  <sheetFormatPr defaultRowHeight="15" x14ac:dyDescent="0.25"/>
  <cols>
    <col min="1" max="1" width="23.5703125" style="2" bestFit="1" customWidth="1"/>
    <col min="2" max="2" width="8.7109375" bestFit="1" customWidth="1"/>
    <col min="3" max="3" width="9.85546875" style="1" bestFit="1" customWidth="1"/>
  </cols>
  <sheetData>
    <row r="1" spans="1:3" ht="22.5" x14ac:dyDescent="0.25">
      <c r="A1" s="26" t="s">
        <v>78</v>
      </c>
      <c r="B1" s="25" t="s">
        <v>77</v>
      </c>
      <c r="C1" s="24" t="s">
        <v>76</v>
      </c>
    </row>
    <row r="2" spans="1:3" x14ac:dyDescent="0.25">
      <c r="A2" s="23" t="s">
        <v>75</v>
      </c>
      <c r="B2" s="22">
        <v>4.4444444444444403E+28</v>
      </c>
      <c r="C2" s="21">
        <f>SUM(C3:C7)</f>
        <v>83000</v>
      </c>
    </row>
    <row r="3" spans="1:3" x14ac:dyDescent="0.25">
      <c r="A3" s="9" t="s">
        <v>74</v>
      </c>
      <c r="B3" s="8">
        <v>44865</v>
      </c>
      <c r="C3" s="7">
        <v>16000</v>
      </c>
    </row>
    <row r="4" spans="1:3" x14ac:dyDescent="0.25">
      <c r="A4" s="9" t="s">
        <v>73</v>
      </c>
      <c r="B4" s="8">
        <v>45153</v>
      </c>
      <c r="C4" s="7">
        <v>16000</v>
      </c>
    </row>
    <row r="5" spans="1:3" x14ac:dyDescent="0.25">
      <c r="A5" s="11" t="s">
        <v>72</v>
      </c>
      <c r="B5" s="8">
        <v>44704</v>
      </c>
      <c r="C5" s="10">
        <v>18000</v>
      </c>
    </row>
    <row r="6" spans="1:3" x14ac:dyDescent="0.25">
      <c r="A6" s="9" t="s">
        <v>71</v>
      </c>
      <c r="B6" s="8">
        <v>45842</v>
      </c>
      <c r="C6" s="7">
        <v>16000</v>
      </c>
    </row>
    <row r="7" spans="1:3" x14ac:dyDescent="0.25">
      <c r="A7" s="9" t="s">
        <v>70</v>
      </c>
      <c r="B7" s="8">
        <v>45085</v>
      </c>
      <c r="C7" s="7">
        <v>17000</v>
      </c>
    </row>
    <row r="8" spans="1:3" x14ac:dyDescent="0.25">
      <c r="A8" s="6" t="s">
        <v>69</v>
      </c>
      <c r="B8" s="4"/>
      <c r="C8" s="3">
        <f>SUM(C9:C17)</f>
        <v>139000</v>
      </c>
    </row>
    <row r="9" spans="1:3" x14ac:dyDescent="0.25">
      <c r="A9" s="11" t="s">
        <v>68</v>
      </c>
      <c r="B9" s="8">
        <v>45615</v>
      </c>
      <c r="C9" s="10">
        <v>17000</v>
      </c>
    </row>
    <row r="10" spans="1:3" x14ac:dyDescent="0.25">
      <c r="A10" s="11" t="s">
        <v>67</v>
      </c>
      <c r="B10" s="8">
        <v>45516</v>
      </c>
      <c r="C10" s="10">
        <v>13000</v>
      </c>
    </row>
    <row r="11" spans="1:3" x14ac:dyDescent="0.25">
      <c r="A11" s="11" t="s">
        <v>66</v>
      </c>
      <c r="B11" s="8">
        <v>45516</v>
      </c>
      <c r="C11" s="10">
        <v>14000</v>
      </c>
    </row>
    <row r="12" spans="1:3" x14ac:dyDescent="0.25">
      <c r="A12" s="9" t="s">
        <v>65</v>
      </c>
      <c r="B12" s="8">
        <v>46055</v>
      </c>
      <c r="C12" s="7">
        <v>12000</v>
      </c>
    </row>
    <row r="13" spans="1:3" x14ac:dyDescent="0.25">
      <c r="A13" s="9" t="s">
        <v>64</v>
      </c>
      <c r="B13" s="8">
        <v>45154</v>
      </c>
      <c r="C13" s="7">
        <v>14000</v>
      </c>
    </row>
    <row r="14" spans="1:3" x14ac:dyDescent="0.25">
      <c r="A14" s="9" t="s">
        <v>63</v>
      </c>
      <c r="B14" s="8">
        <v>45139</v>
      </c>
      <c r="C14" s="7">
        <v>20000</v>
      </c>
    </row>
    <row r="15" spans="1:3" x14ac:dyDescent="0.25">
      <c r="A15" s="20" t="s">
        <v>62</v>
      </c>
      <c r="B15" s="8">
        <v>44405</v>
      </c>
      <c r="C15" s="10">
        <v>21000</v>
      </c>
    </row>
    <row r="16" spans="1:3" x14ac:dyDescent="0.25">
      <c r="A16" s="19" t="s">
        <v>61</v>
      </c>
      <c r="B16" s="8">
        <v>45287</v>
      </c>
      <c r="C16" s="7">
        <v>15000</v>
      </c>
    </row>
    <row r="17" spans="1:3" x14ac:dyDescent="0.25">
      <c r="A17" s="11" t="s">
        <v>60</v>
      </c>
      <c r="B17" s="8">
        <v>45516</v>
      </c>
      <c r="C17" s="10">
        <v>13000</v>
      </c>
    </row>
    <row r="18" spans="1:3" x14ac:dyDescent="0.25">
      <c r="A18" s="6" t="s">
        <v>59</v>
      </c>
      <c r="B18" s="4"/>
      <c r="C18" s="3">
        <f>SUM(C19:C33)</f>
        <v>222000</v>
      </c>
    </row>
    <row r="19" spans="1:3" x14ac:dyDescent="0.25">
      <c r="A19" s="11" t="s">
        <v>58</v>
      </c>
      <c r="B19" s="8">
        <v>45354</v>
      </c>
      <c r="C19" s="10">
        <v>20000</v>
      </c>
    </row>
    <row r="20" spans="1:3" x14ac:dyDescent="0.25">
      <c r="A20" s="9" t="s">
        <v>57</v>
      </c>
      <c r="B20" s="8">
        <v>45551</v>
      </c>
      <c r="C20" s="7">
        <v>14000</v>
      </c>
    </row>
    <row r="21" spans="1:3" x14ac:dyDescent="0.25">
      <c r="A21" s="11" t="s">
        <v>56</v>
      </c>
      <c r="B21" s="8">
        <v>46038</v>
      </c>
      <c r="C21" s="7">
        <v>15000</v>
      </c>
    </row>
    <row r="22" spans="1:3" x14ac:dyDescent="0.25">
      <c r="A22" s="9" t="s">
        <v>55</v>
      </c>
      <c r="B22" s="8">
        <v>46064</v>
      </c>
      <c r="C22" s="7">
        <v>15000</v>
      </c>
    </row>
    <row r="23" spans="1:3" x14ac:dyDescent="0.25">
      <c r="A23" s="9" t="s">
        <v>54</v>
      </c>
      <c r="B23" s="8">
        <v>45474</v>
      </c>
      <c r="C23" s="7">
        <v>12000</v>
      </c>
    </row>
    <row r="24" spans="1:3" x14ac:dyDescent="0.25">
      <c r="A24" s="9" t="s">
        <v>53</v>
      </c>
      <c r="B24" s="8">
        <v>46065</v>
      </c>
      <c r="C24" s="7">
        <v>18000</v>
      </c>
    </row>
    <row r="25" spans="1:3" x14ac:dyDescent="0.25">
      <c r="A25" s="9" t="s">
        <v>52</v>
      </c>
      <c r="B25" s="8">
        <v>45941</v>
      </c>
      <c r="C25" s="7">
        <v>14000</v>
      </c>
    </row>
    <row r="26" spans="1:3" x14ac:dyDescent="0.25">
      <c r="A26" s="9" t="s">
        <v>51</v>
      </c>
      <c r="B26" s="8">
        <v>45552</v>
      </c>
      <c r="C26" s="7">
        <v>17000</v>
      </c>
    </row>
    <row r="27" spans="1:3" x14ac:dyDescent="0.25">
      <c r="A27" s="9" t="s">
        <v>50</v>
      </c>
      <c r="B27" s="8">
        <v>46120</v>
      </c>
      <c r="C27" s="7">
        <v>15000</v>
      </c>
    </row>
    <row r="28" spans="1:3" x14ac:dyDescent="0.25">
      <c r="A28" s="9" t="s">
        <v>49</v>
      </c>
      <c r="B28" s="8">
        <v>46118</v>
      </c>
      <c r="C28" s="7">
        <v>12000</v>
      </c>
    </row>
    <row r="29" spans="1:3" x14ac:dyDescent="0.25">
      <c r="A29" s="11" t="s">
        <v>48</v>
      </c>
      <c r="B29" s="8">
        <v>45778</v>
      </c>
      <c r="C29" s="10">
        <v>17000</v>
      </c>
    </row>
    <row r="30" spans="1:3" x14ac:dyDescent="0.25">
      <c r="A30" s="9" t="s">
        <v>47</v>
      </c>
      <c r="B30" s="8">
        <v>46116</v>
      </c>
      <c r="C30" s="7">
        <v>8000</v>
      </c>
    </row>
    <row r="31" spans="1:3" x14ac:dyDescent="0.25">
      <c r="A31" s="9" t="s">
        <v>46</v>
      </c>
      <c r="B31" s="8">
        <v>46087</v>
      </c>
      <c r="C31" s="7">
        <v>13000</v>
      </c>
    </row>
    <row r="32" spans="1:3" x14ac:dyDescent="0.25">
      <c r="A32" s="9" t="s">
        <v>45</v>
      </c>
      <c r="B32" s="8">
        <v>45908</v>
      </c>
      <c r="C32" s="7">
        <v>15000</v>
      </c>
    </row>
    <row r="33" spans="1:3" x14ac:dyDescent="0.25">
      <c r="A33" s="9" t="s">
        <v>44</v>
      </c>
      <c r="B33" s="8">
        <v>45085</v>
      </c>
      <c r="C33" s="7">
        <v>17000</v>
      </c>
    </row>
    <row r="34" spans="1:3" x14ac:dyDescent="0.25">
      <c r="A34" s="6" t="s">
        <v>43</v>
      </c>
      <c r="B34" s="4">
        <v>0</v>
      </c>
      <c r="C34" s="3">
        <f>SUM(C35:C36)</f>
        <v>24000</v>
      </c>
    </row>
    <row r="35" spans="1:3" x14ac:dyDescent="0.25">
      <c r="A35" s="9" t="s">
        <v>42</v>
      </c>
      <c r="B35" s="8">
        <v>46023</v>
      </c>
      <c r="C35" s="7">
        <v>12000</v>
      </c>
    </row>
    <row r="36" spans="1:3" x14ac:dyDescent="0.25">
      <c r="A36" s="9" t="s">
        <v>41</v>
      </c>
      <c r="B36" s="8">
        <v>45825</v>
      </c>
      <c r="C36" s="7">
        <v>12000</v>
      </c>
    </row>
    <row r="37" spans="1:3" x14ac:dyDescent="0.25">
      <c r="A37" s="6" t="s">
        <v>40</v>
      </c>
      <c r="B37" s="4"/>
      <c r="C37" s="3">
        <f>SUM(C38:C39)</f>
        <v>26000</v>
      </c>
    </row>
    <row r="38" spans="1:3" x14ac:dyDescent="0.25">
      <c r="A38" s="9" t="s">
        <v>39</v>
      </c>
      <c r="B38" s="8">
        <v>44983</v>
      </c>
      <c r="C38" s="7">
        <v>18000</v>
      </c>
    </row>
    <row r="39" spans="1:3" x14ac:dyDescent="0.25">
      <c r="A39" s="9" t="s">
        <v>38</v>
      </c>
      <c r="B39" s="8">
        <v>46064</v>
      </c>
      <c r="C39" s="7">
        <v>8000</v>
      </c>
    </row>
    <row r="40" spans="1:3" x14ac:dyDescent="0.25">
      <c r="A40" s="6" t="s">
        <v>37</v>
      </c>
      <c r="B40" s="4"/>
      <c r="C40" s="3">
        <f>SUM(C41:C45)</f>
        <v>66000</v>
      </c>
    </row>
    <row r="41" spans="1:3" x14ac:dyDescent="0.25">
      <c r="A41" s="9" t="s">
        <v>36</v>
      </c>
      <c r="B41" s="8">
        <v>45691</v>
      </c>
      <c r="C41" s="7">
        <v>22000</v>
      </c>
    </row>
    <row r="42" spans="1:3" x14ac:dyDescent="0.25">
      <c r="A42" s="9" t="s">
        <v>35</v>
      </c>
      <c r="B42" s="8">
        <v>46153</v>
      </c>
      <c r="C42" s="7">
        <v>12000</v>
      </c>
    </row>
    <row r="43" spans="1:3" x14ac:dyDescent="0.25">
      <c r="A43" s="15" t="s">
        <v>34</v>
      </c>
      <c r="B43" s="8">
        <v>46153</v>
      </c>
      <c r="C43" s="7">
        <v>8000</v>
      </c>
    </row>
    <row r="44" spans="1:3" x14ac:dyDescent="0.25">
      <c r="A44" s="15" t="s">
        <v>33</v>
      </c>
      <c r="B44" s="8">
        <v>46153</v>
      </c>
      <c r="C44" s="7">
        <v>12000</v>
      </c>
    </row>
    <row r="45" spans="1:3" x14ac:dyDescent="0.25">
      <c r="A45" s="9" t="s">
        <v>32</v>
      </c>
      <c r="B45" s="8">
        <v>45377</v>
      </c>
      <c r="C45" s="7">
        <v>12000</v>
      </c>
    </row>
    <row r="46" spans="1:3" x14ac:dyDescent="0.25">
      <c r="A46" s="6" t="s">
        <v>31</v>
      </c>
      <c r="B46" s="4"/>
      <c r="C46" s="3">
        <f>SUM(C47:C55)</f>
        <v>56000</v>
      </c>
    </row>
    <row r="47" spans="1:3" x14ac:dyDescent="0.25">
      <c r="A47" s="18" t="s">
        <v>30</v>
      </c>
      <c r="B47" s="17"/>
      <c r="C47" s="16"/>
    </row>
    <row r="48" spans="1:3" x14ac:dyDescent="0.25">
      <c r="A48" s="15" t="s">
        <v>29</v>
      </c>
      <c r="B48" s="14"/>
      <c r="C48" s="13"/>
    </row>
    <row r="49" spans="1:3" x14ac:dyDescent="0.25">
      <c r="A49" s="15" t="s">
        <v>28</v>
      </c>
      <c r="B49" s="14">
        <v>46129</v>
      </c>
      <c r="C49" s="13">
        <v>6000</v>
      </c>
    </row>
    <row r="50" spans="1:3" x14ac:dyDescent="0.25">
      <c r="A50" s="15" t="s">
        <v>27</v>
      </c>
      <c r="B50" s="14"/>
      <c r="C50" s="13">
        <v>12000</v>
      </c>
    </row>
    <row r="51" spans="1:3" x14ac:dyDescent="0.25">
      <c r="A51" s="15" t="s">
        <v>26</v>
      </c>
      <c r="B51" s="14">
        <v>46064</v>
      </c>
      <c r="C51" s="13">
        <v>15000</v>
      </c>
    </row>
    <row r="52" spans="1:3" x14ac:dyDescent="0.25">
      <c r="A52" s="15" t="s">
        <v>25</v>
      </c>
      <c r="B52" s="14">
        <v>45818</v>
      </c>
      <c r="C52" s="13">
        <v>13000</v>
      </c>
    </row>
    <row r="53" spans="1:3" x14ac:dyDescent="0.25">
      <c r="A53" s="15" t="s">
        <v>24</v>
      </c>
      <c r="B53" s="14"/>
      <c r="C53" s="13"/>
    </row>
    <row r="54" spans="1:3" x14ac:dyDescent="0.25">
      <c r="A54" s="15" t="s">
        <v>23</v>
      </c>
      <c r="B54" s="14">
        <v>46118</v>
      </c>
      <c r="C54" s="13">
        <v>10000</v>
      </c>
    </row>
    <row r="55" spans="1:3" x14ac:dyDescent="0.25">
      <c r="A55" s="15" t="s">
        <v>22</v>
      </c>
      <c r="B55" s="14"/>
      <c r="C55" s="13"/>
    </row>
    <row r="56" spans="1:3" x14ac:dyDescent="0.25">
      <c r="A56" s="6" t="s">
        <v>21</v>
      </c>
      <c r="B56" s="4"/>
      <c r="C56" s="3">
        <f>SUM(C57:C69)</f>
        <v>183500</v>
      </c>
    </row>
    <row r="57" spans="1:3" x14ac:dyDescent="0.25">
      <c r="A57" s="9" t="s">
        <v>20</v>
      </c>
      <c r="B57" s="8">
        <v>44369</v>
      </c>
      <c r="C57" s="7">
        <v>18500</v>
      </c>
    </row>
    <row r="58" spans="1:3" x14ac:dyDescent="0.25">
      <c r="A58" s="9" t="s">
        <v>19</v>
      </c>
      <c r="B58" s="8">
        <v>45398</v>
      </c>
      <c r="C58" s="7">
        <v>12000</v>
      </c>
    </row>
    <row r="59" spans="1:3" x14ac:dyDescent="0.25">
      <c r="A59" s="9" t="s">
        <v>18</v>
      </c>
      <c r="B59" s="8">
        <v>45085</v>
      </c>
      <c r="C59" s="7">
        <v>22000</v>
      </c>
    </row>
    <row r="60" spans="1:3" x14ac:dyDescent="0.25">
      <c r="A60" s="12" t="s">
        <v>17</v>
      </c>
      <c r="B60" s="8">
        <v>46099</v>
      </c>
      <c r="C60" s="10">
        <v>12000</v>
      </c>
    </row>
    <row r="61" spans="1:3" x14ac:dyDescent="0.25">
      <c r="A61" s="9" t="s">
        <v>16</v>
      </c>
      <c r="B61" s="8">
        <v>45910</v>
      </c>
      <c r="C61" s="7">
        <v>15000</v>
      </c>
    </row>
    <row r="62" spans="1:3" x14ac:dyDescent="0.25">
      <c r="A62" s="12" t="s">
        <v>15</v>
      </c>
      <c r="B62" s="8">
        <v>46114</v>
      </c>
      <c r="C62" s="10">
        <v>20000</v>
      </c>
    </row>
    <row r="63" spans="1:3" x14ac:dyDescent="0.25">
      <c r="A63" s="9" t="s">
        <v>14</v>
      </c>
      <c r="B63" s="8">
        <v>46127</v>
      </c>
      <c r="C63" s="7">
        <v>13000</v>
      </c>
    </row>
    <row r="64" spans="1:3" x14ac:dyDescent="0.25">
      <c r="A64" s="9" t="s">
        <v>13</v>
      </c>
      <c r="B64" s="8">
        <v>46167</v>
      </c>
      <c r="C64" s="7">
        <v>18000</v>
      </c>
    </row>
    <row r="65" spans="1:3" x14ac:dyDescent="0.25">
      <c r="A65" s="9" t="s">
        <v>12</v>
      </c>
      <c r="B65" s="8">
        <v>46161</v>
      </c>
      <c r="C65" s="7">
        <v>23000</v>
      </c>
    </row>
    <row r="66" spans="1:3" x14ac:dyDescent="0.25">
      <c r="A66" s="9" t="s">
        <v>11</v>
      </c>
      <c r="B66" s="8">
        <v>46122</v>
      </c>
      <c r="C66" s="7">
        <v>12000</v>
      </c>
    </row>
    <row r="67" spans="1:3" x14ac:dyDescent="0.25">
      <c r="A67" s="12" t="s">
        <v>10</v>
      </c>
      <c r="B67" s="8">
        <v>44091</v>
      </c>
      <c r="C67" s="7">
        <v>18000</v>
      </c>
    </row>
    <row r="68" spans="1:3" x14ac:dyDescent="0.25">
      <c r="A68" s="12" t="s">
        <v>9</v>
      </c>
      <c r="B68" s="8" t="s">
        <v>7</v>
      </c>
      <c r="C68" s="7">
        <v>0</v>
      </c>
    </row>
    <row r="69" spans="1:3" x14ac:dyDescent="0.25">
      <c r="A69" s="12" t="s">
        <v>8</v>
      </c>
      <c r="B69" s="8" t="s">
        <v>7</v>
      </c>
      <c r="C69" s="7">
        <v>0</v>
      </c>
    </row>
    <row r="70" spans="1:3" x14ac:dyDescent="0.25">
      <c r="A70" s="6" t="s">
        <v>6</v>
      </c>
      <c r="B70" s="4"/>
      <c r="C70" s="3">
        <f>SUM(C71:C73)</f>
        <v>47500</v>
      </c>
    </row>
    <row r="71" spans="1:3" x14ac:dyDescent="0.25">
      <c r="A71" s="12" t="s">
        <v>5</v>
      </c>
      <c r="B71" s="8">
        <v>44766</v>
      </c>
      <c r="C71" s="7">
        <v>23000</v>
      </c>
    </row>
    <row r="72" spans="1:3" x14ac:dyDescent="0.25">
      <c r="A72" s="11" t="s">
        <v>4</v>
      </c>
      <c r="B72" s="8">
        <v>46087</v>
      </c>
      <c r="C72" s="10">
        <v>14500</v>
      </c>
    </row>
    <row r="73" spans="1:3" x14ac:dyDescent="0.25">
      <c r="A73" s="9" t="s">
        <v>3</v>
      </c>
      <c r="B73" s="8">
        <v>46118</v>
      </c>
      <c r="C73" s="7">
        <v>10000</v>
      </c>
    </row>
    <row r="74" spans="1:3" x14ac:dyDescent="0.25">
      <c r="A74" s="6" t="s">
        <v>2</v>
      </c>
      <c r="B74" s="4"/>
      <c r="C74" s="3">
        <f>C2+C8+C18+C34+C37+C40+C46+C56+C70</f>
        <v>847000</v>
      </c>
    </row>
    <row r="75" spans="1:3" x14ac:dyDescent="0.25">
      <c r="A75" s="5" t="s">
        <v>1</v>
      </c>
      <c r="B75" s="4"/>
      <c r="C75" s="3"/>
    </row>
    <row r="76" spans="1:3" x14ac:dyDescent="0.25">
      <c r="A76" s="5" t="s">
        <v>0</v>
      </c>
      <c r="B76" s="4"/>
      <c r="C7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jatin.jk7053@outlook.com</dc:creator>
  <cp:lastModifiedBy>jatin.jk7053@outlook.com</cp:lastModifiedBy>
  <dcterms:created xsi:type="dcterms:W3CDTF">2026-06-16T10:21:14Z</dcterms:created>
  <dcterms:modified xsi:type="dcterms:W3CDTF">2026-06-16T10:21:30Z</dcterms:modified>
</cp:coreProperties>
</file>